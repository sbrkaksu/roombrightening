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berk\roombrightening\"/>
    </mc:Choice>
  </mc:AlternateContent>
  <xr:revisionPtr revIDLastSave="0" documentId="13_ncr:1_{94C1799F-39E4-4321-9D77-3CCC0E0140CF}" xr6:coauthVersionLast="47" xr6:coauthVersionMax="47" xr10:uidLastSave="{00000000-0000-0000-0000-000000000000}"/>
  <bookViews>
    <workbookView xWindow="1845" yWindow="-15870" windowWidth="25440" windowHeight="15270" activeTab="4" xr2:uid="{17DC406C-42B8-4956-9234-CDF5DC26EB7C}"/>
  </bookViews>
  <sheets>
    <sheet name="Tabelle1" sheetId="1" r:id="rId1"/>
    <sheet name="Tabelle2" sheetId="4" r:id="rId2"/>
    <sheet name="Verhältnis" sheetId="5" r:id="rId3"/>
    <sheet name="Faktoren" sheetId="6" r:id="rId4"/>
    <sheet name="Berk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7" l="1"/>
  <c r="F2" i="7"/>
  <c r="F3" i="7"/>
  <c r="F4" i="7"/>
  <c r="F5" i="7"/>
  <c r="F6" i="7"/>
  <c r="F7" i="7"/>
  <c r="F8" i="7"/>
  <c r="F9" i="7"/>
  <c r="E2" i="7"/>
  <c r="E3" i="7"/>
  <c r="E4" i="7"/>
  <c r="E5" i="7"/>
  <c r="E6" i="7"/>
  <c r="E7" i="7"/>
  <c r="E8" i="7"/>
  <c r="E9" i="7"/>
  <c r="E2" i="1"/>
  <c r="B9" i="4" s="1"/>
  <c r="E3" i="1"/>
  <c r="B10" i="4" s="1"/>
  <c r="E4" i="1"/>
  <c r="B11" i="4" s="1"/>
  <c r="E5" i="1"/>
  <c r="B12" i="4" s="1"/>
  <c r="E6" i="1"/>
  <c r="E7" i="1"/>
  <c r="I3" i="1" s="1"/>
  <c r="E8" i="1"/>
  <c r="E9" i="1"/>
  <c r="E10" i="1"/>
  <c r="D9" i="4" s="1"/>
  <c r="E11" i="1"/>
  <c r="C12" i="4" s="1"/>
  <c r="E12" i="1"/>
  <c r="E13" i="1"/>
  <c r="D12" i="4" s="1"/>
  <c r="E14" i="1"/>
  <c r="E15" i="1"/>
  <c r="I5" i="1" s="1"/>
  <c r="E16" i="1"/>
  <c r="E11" i="4" s="1"/>
  <c r="E17" i="1"/>
  <c r="E12" i="4" s="1"/>
  <c r="E18" i="1"/>
  <c r="E19" i="1"/>
  <c r="I6" i="1" s="1"/>
  <c r="E20" i="1"/>
  <c r="E21" i="1"/>
  <c r="F12" i="4" s="1"/>
  <c r="F10" i="4"/>
  <c r="F11" i="4"/>
  <c r="C11" i="4"/>
  <c r="I2" i="7" l="1"/>
  <c r="I2" i="1"/>
  <c r="C10" i="4"/>
  <c r="I4" i="1"/>
  <c r="D10" i="4"/>
  <c r="E9" i="4"/>
  <c r="E10" i="4"/>
  <c r="F9" i="4"/>
  <c r="D11" i="4"/>
  <c r="C9" i="4"/>
  <c r="F2" i="1"/>
  <c r="B2" i="4" s="1"/>
  <c r="F6" i="1"/>
  <c r="F10" i="1"/>
  <c r="F14" i="1"/>
  <c r="F3" i="1"/>
  <c r="F7" i="1"/>
  <c r="F11" i="1"/>
  <c r="F15" i="1"/>
  <c r="F4" i="1"/>
  <c r="F8" i="1"/>
  <c r="F12" i="1"/>
  <c r="E2" i="4" s="1"/>
  <c r="F16" i="1"/>
  <c r="F5" i="1"/>
  <c r="F9" i="1"/>
  <c r="F13" i="1"/>
  <c r="F3" i="4" s="1"/>
  <c r="F17" i="1"/>
  <c r="F18" i="1"/>
  <c r="F19" i="1"/>
  <c r="F20" i="1"/>
  <c r="F21" i="1"/>
  <c r="F5" i="4" s="1"/>
  <c r="D5" i="4" l="1"/>
  <c r="C3" i="4"/>
  <c r="E4" i="4"/>
  <c r="C2" i="4"/>
  <c r="F4" i="4"/>
  <c r="B5" i="4"/>
  <c r="D4" i="4"/>
  <c r="B4" i="4"/>
  <c r="F2" i="4"/>
  <c r="D2" i="4"/>
  <c r="B3" i="4"/>
  <c r="E5" i="4"/>
  <c r="C5" i="4"/>
  <c r="D3" i="4"/>
  <c r="E3" i="4"/>
  <c r="C4" i="4"/>
</calcChain>
</file>

<file path=xl/sharedStrings.xml><?xml version="1.0" encoding="utf-8"?>
<sst xmlns="http://schemas.openxmlformats.org/spreadsheetml/2006/main" count="40" uniqueCount="28">
  <si>
    <t>Spot</t>
  </si>
  <si>
    <t>E_soll</t>
  </si>
  <si>
    <t>E_Mess</t>
  </si>
  <si>
    <t>A_Monitor</t>
  </si>
  <si>
    <t>Faktor</t>
  </si>
  <si>
    <t>Verhältnis</t>
  </si>
  <si>
    <t>Spot1</t>
  </si>
  <si>
    <t>Spot2</t>
  </si>
  <si>
    <t>Spot3</t>
  </si>
  <si>
    <t>Spot4</t>
  </si>
  <si>
    <t>Spot5</t>
  </si>
  <si>
    <t>Faktor 1</t>
  </si>
  <si>
    <t>Faktor 2</t>
  </si>
  <si>
    <t>Faktor 3</t>
  </si>
  <si>
    <t>Faktor 4</t>
  </si>
  <si>
    <t>Faktor 5</t>
  </si>
  <si>
    <t>Faktoren gewählt</t>
  </si>
  <si>
    <t>Anmerkungen: Faktor=E_Mess/A_Monitor</t>
  </si>
  <si>
    <t>Faktoren Gewählt: Mittelwert für E_soll 1, 10 und 31,6lx</t>
  </si>
  <si>
    <t>Diffus</t>
  </si>
  <si>
    <t>Ratio</t>
  </si>
  <si>
    <t>E_Measured</t>
  </si>
  <si>
    <t>Faktoren Chosen</t>
  </si>
  <si>
    <t>E_ideal</t>
  </si>
  <si>
    <t>Factor</t>
  </si>
  <si>
    <t>Spot 1</t>
  </si>
  <si>
    <t>Max_E  (100% Dimming)</t>
  </si>
  <si>
    <t>Spot 1 (Only Center)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</si>
</sst>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/>
      <top/>
      <bottom style="thin">
        <color theme="9"/>
      </bottom>
      <diagonal/>
    </border>
  </borders>
  <cellStyleXfs count="1">
    <xf numFmtId="0" fontId="0" fillId="0" borderId="0"/>
  </cellStyleXfs>
  <cellXfs count="11">
    <xf numFmtId="0" fontId="0" fillId="0" borderId="0" xfId="0"/>
    <xf numFmtId="11" fontId="0" fillId="0" borderId="0" xfId="0" applyNumberFormat="1"/>
    <xf numFmtId="0" fontId="1" fillId="0" borderId="1" xfId="0" applyFont="1" applyBorder="1"/>
    <xf numFmtId="0" fontId="2" fillId="2" borderId="0" xfId="0" applyFont="1" applyFill="1"/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16">
    <dxf>
      <numFmt numFmtId="0" formatCode="General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3.xml"/><Relationship Id="rId4" Type="http://schemas.openxmlformats.org/officeDocument/2006/relationships/chartsheet" Target="chartsheets/sheet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Verhältnis</a:t>
            </a:r>
            <a:r>
              <a:rPr lang="de-DE" baseline="0"/>
              <a:t> E_Mess zu E_soll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Tabelle2!$B$1</c:f>
              <c:strCache>
                <c:ptCount val="1"/>
                <c:pt idx="0">
                  <c:v>Spot1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Tabelle2!$A$2:$A$5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10</c:v>
                </c:pt>
                <c:pt idx="3">
                  <c:v>31.6</c:v>
                </c:pt>
              </c:numCache>
            </c:numRef>
          </c:xVal>
          <c:yVal>
            <c:numRef>
              <c:f>Tabelle2!$B$2:$B$5</c:f>
              <c:numCache>
                <c:formatCode>General</c:formatCode>
                <c:ptCount val="4"/>
                <c:pt idx="0">
                  <c:v>1</c:v>
                </c:pt>
                <c:pt idx="1">
                  <c:v>0.98</c:v>
                </c:pt>
                <c:pt idx="2">
                  <c:v>0.99700000000000011</c:v>
                </c:pt>
                <c:pt idx="3">
                  <c:v>0.995253164556962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C4-4D86-B403-07613A857E6A}"/>
            </c:ext>
          </c:extLst>
        </c:ser>
        <c:ser>
          <c:idx val="1"/>
          <c:order val="1"/>
          <c:tx>
            <c:strRef>
              <c:f>Tabelle2!$C$1</c:f>
              <c:strCache>
                <c:ptCount val="1"/>
                <c:pt idx="0">
                  <c:v>Spot2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Tabelle2!$A$2:$A$5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10</c:v>
                </c:pt>
                <c:pt idx="3">
                  <c:v>31.6</c:v>
                </c:pt>
              </c:numCache>
            </c:numRef>
          </c:xVal>
          <c:yVal>
            <c:numRef>
              <c:f>Tabelle2!$C$2:$C$5</c:f>
              <c:numCache>
                <c:formatCode>General</c:formatCode>
                <c:ptCount val="4"/>
                <c:pt idx="0">
                  <c:v>1</c:v>
                </c:pt>
                <c:pt idx="1">
                  <c:v>1.03</c:v>
                </c:pt>
                <c:pt idx="2">
                  <c:v>1.036</c:v>
                </c:pt>
                <c:pt idx="3">
                  <c:v>1.0237341772151898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C4-4D86-B403-07613A857E6A}"/>
            </c:ext>
          </c:extLst>
        </c:ser>
        <c:ser>
          <c:idx val="2"/>
          <c:order val="2"/>
          <c:tx>
            <c:strRef>
              <c:f>Tabelle2!$D$1</c:f>
              <c:strCache>
                <c:ptCount val="1"/>
                <c:pt idx="0">
                  <c:v>Spot3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Tabelle2!$A$2:$A$5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10</c:v>
                </c:pt>
                <c:pt idx="3">
                  <c:v>31.6</c:v>
                </c:pt>
              </c:numCache>
            </c:numRef>
          </c:xVal>
          <c:yVal>
            <c:numRef>
              <c:f>Tabelle2!$D$2:$D$5</c:f>
              <c:numCache>
                <c:formatCode>General</c:formatCode>
                <c:ptCount val="4"/>
                <c:pt idx="0">
                  <c:v>1</c:v>
                </c:pt>
                <c:pt idx="1">
                  <c:v>1.01</c:v>
                </c:pt>
                <c:pt idx="2">
                  <c:v>1.0369999999999999</c:v>
                </c:pt>
                <c:pt idx="3">
                  <c:v>1.0316455696202531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EC4-4D86-B403-07613A857E6A}"/>
            </c:ext>
          </c:extLst>
        </c:ser>
        <c:ser>
          <c:idx val="3"/>
          <c:order val="3"/>
          <c:tx>
            <c:strRef>
              <c:f>Tabelle2!$E$1</c:f>
              <c:strCache>
                <c:ptCount val="1"/>
                <c:pt idx="0">
                  <c:v>Spot4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Tabelle2!$A$2:$A$5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10</c:v>
                </c:pt>
                <c:pt idx="3">
                  <c:v>31.6</c:v>
                </c:pt>
              </c:numCache>
            </c:numRef>
          </c:xVal>
          <c:yVal>
            <c:numRef>
              <c:f>Tabelle2!$E$2:$E$5</c:f>
              <c:numCache>
                <c:formatCode>General</c:formatCode>
                <c:ptCount val="4"/>
                <c:pt idx="0">
                  <c:v>1</c:v>
                </c:pt>
                <c:pt idx="1">
                  <c:v>1.03</c:v>
                </c:pt>
                <c:pt idx="2">
                  <c:v>1.0310000000000001</c:v>
                </c:pt>
                <c:pt idx="3">
                  <c:v>1.0183544303797467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C4-4D86-B403-07613A857E6A}"/>
            </c:ext>
          </c:extLst>
        </c:ser>
        <c:ser>
          <c:idx val="4"/>
          <c:order val="4"/>
          <c:tx>
            <c:strRef>
              <c:f>Tabelle2!$F$1</c:f>
              <c:strCache>
                <c:ptCount val="1"/>
                <c:pt idx="0">
                  <c:v>Spot5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Tabelle2!$A$2:$A$5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10</c:v>
                </c:pt>
                <c:pt idx="3">
                  <c:v>31.6</c:v>
                </c:pt>
              </c:numCache>
            </c:numRef>
          </c:xVal>
          <c:yVal>
            <c:numRef>
              <c:f>Tabelle2!$F$2:$F$5</c:f>
              <c:numCache>
                <c:formatCode>General</c:formatCode>
                <c:ptCount val="4"/>
                <c:pt idx="0">
                  <c:v>1.3</c:v>
                </c:pt>
                <c:pt idx="1">
                  <c:v>0.96</c:v>
                </c:pt>
                <c:pt idx="2">
                  <c:v>1.06</c:v>
                </c:pt>
                <c:pt idx="3">
                  <c:v>1.0537974683544302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EC4-4D86-B403-07613A857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963920"/>
        <c:axId val="1084254752"/>
      </c:scatterChart>
      <c:valAx>
        <c:axId val="1093963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84254752"/>
        <c:crosses val="autoZero"/>
        <c:crossBetween val="midCat"/>
      </c:valAx>
      <c:valAx>
        <c:axId val="1084254752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93963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Faktoren Monitor zu E_mess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Tabelle2!$B$8</c:f>
              <c:strCache>
                <c:ptCount val="1"/>
                <c:pt idx="0">
                  <c:v>Faktor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Tabelle2!$A$9:$A$12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10</c:v>
                </c:pt>
                <c:pt idx="3">
                  <c:v>31.6</c:v>
                </c:pt>
              </c:numCache>
            </c:numRef>
          </c:xVal>
          <c:yVal>
            <c:numRef>
              <c:f>Tabelle2!$B$9:$B$12</c:f>
              <c:numCache>
                <c:formatCode>0.00E+00</c:formatCode>
                <c:ptCount val="4"/>
                <c:pt idx="0">
                  <c:v>27100271.002710029</c:v>
                </c:pt>
                <c:pt idx="1">
                  <c:v>24137931.034482758</c:v>
                </c:pt>
                <c:pt idx="2">
                  <c:v>24199029.126213595</c:v>
                </c:pt>
                <c:pt idx="3">
                  <c:v>24007633.587786261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4E-4B6D-84AF-1E4844DCF97D}"/>
            </c:ext>
          </c:extLst>
        </c:ser>
        <c:ser>
          <c:idx val="1"/>
          <c:order val="1"/>
          <c:tx>
            <c:strRef>
              <c:f>Tabelle2!$C$8</c:f>
              <c:strCache>
                <c:ptCount val="1"/>
                <c:pt idx="0">
                  <c:v>Faktor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Tabelle2!$A$9:$A$12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10</c:v>
                </c:pt>
                <c:pt idx="3">
                  <c:v>31.6</c:v>
                </c:pt>
              </c:numCache>
            </c:numRef>
          </c:xVal>
          <c:yVal>
            <c:numRef>
              <c:f>Tabelle2!$C$9:$C$12</c:f>
              <c:numCache>
                <c:formatCode>0.00E+00</c:formatCode>
                <c:ptCount val="4"/>
                <c:pt idx="0">
                  <c:v>27472527.472527474</c:v>
                </c:pt>
                <c:pt idx="1">
                  <c:v>24178403.755868547</c:v>
                </c:pt>
                <c:pt idx="2">
                  <c:v>24205607.476635512</c:v>
                </c:pt>
                <c:pt idx="3">
                  <c:v>23962962.962962963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4E-4B6D-84AF-1E4844DCF97D}"/>
            </c:ext>
          </c:extLst>
        </c:ser>
        <c:ser>
          <c:idx val="2"/>
          <c:order val="2"/>
          <c:tx>
            <c:strRef>
              <c:f>Tabelle2!$D$8</c:f>
              <c:strCache>
                <c:ptCount val="1"/>
                <c:pt idx="0">
                  <c:v>Faktor 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Tabelle2!$A$9:$A$12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10</c:v>
                </c:pt>
                <c:pt idx="3">
                  <c:v>31.6</c:v>
                </c:pt>
              </c:numCache>
            </c:numRef>
          </c:xVal>
          <c:yVal>
            <c:numRef>
              <c:f>Tabelle2!$D$9:$D$12</c:f>
              <c:numCache>
                <c:formatCode>0.00E+00</c:formatCode>
                <c:ptCount val="4"/>
                <c:pt idx="0">
                  <c:v>41322314.04958678</c:v>
                </c:pt>
                <c:pt idx="1">
                  <c:v>36594202.898550726</c:v>
                </c:pt>
                <c:pt idx="2">
                  <c:v>36385964.912280694</c:v>
                </c:pt>
                <c:pt idx="3">
                  <c:v>35982339.955849893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4E-4B6D-84AF-1E4844DCF97D}"/>
            </c:ext>
          </c:extLst>
        </c:ser>
        <c:ser>
          <c:idx val="3"/>
          <c:order val="3"/>
          <c:tx>
            <c:strRef>
              <c:f>Tabelle2!$E$8</c:f>
              <c:strCache>
                <c:ptCount val="1"/>
                <c:pt idx="0">
                  <c:v>Faktor 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Tabelle2!$A$9:$A$12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10</c:v>
                </c:pt>
                <c:pt idx="3">
                  <c:v>31.6</c:v>
                </c:pt>
              </c:numCache>
            </c:numRef>
          </c:xVal>
          <c:yVal>
            <c:numRef>
              <c:f>Tabelle2!$E$9:$E$12</c:f>
              <c:numCache>
                <c:formatCode>0.00E+00</c:formatCode>
                <c:ptCount val="4"/>
                <c:pt idx="0">
                  <c:v>30211480.362537768</c:v>
                </c:pt>
                <c:pt idx="1">
                  <c:v>27034120.734908137</c:v>
                </c:pt>
                <c:pt idx="2">
                  <c:v>27131578.947368421</c:v>
                </c:pt>
                <c:pt idx="3">
                  <c:v>26816666.666666668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4E-4B6D-84AF-1E4844DCF97D}"/>
            </c:ext>
          </c:extLst>
        </c:ser>
        <c:ser>
          <c:idx val="4"/>
          <c:order val="4"/>
          <c:tx>
            <c:strRef>
              <c:f>Tabelle2!$F$8</c:f>
              <c:strCache>
                <c:ptCount val="1"/>
                <c:pt idx="0">
                  <c:v>Faktor 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Tabelle2!$A$9:$A$12</c:f>
              <c:numCache>
                <c:formatCode>General</c:formatCode>
                <c:ptCount val="4"/>
                <c:pt idx="0">
                  <c:v>0.1</c:v>
                </c:pt>
                <c:pt idx="1">
                  <c:v>1</c:v>
                </c:pt>
                <c:pt idx="2">
                  <c:v>10</c:v>
                </c:pt>
                <c:pt idx="3">
                  <c:v>31.6</c:v>
                </c:pt>
              </c:numCache>
            </c:numRef>
          </c:xVal>
          <c:yVal>
            <c:numRef>
              <c:f>Tabelle2!$F$9:$F$12</c:f>
              <c:numCache>
                <c:formatCode>0.00E+00</c:formatCode>
                <c:ptCount val="4"/>
                <c:pt idx="0">
                  <c:v>14099783.080260305</c:v>
                </c:pt>
                <c:pt idx="1">
                  <c:v>12715231.78807947</c:v>
                </c:pt>
                <c:pt idx="2">
                  <c:v>12544378.698224852</c:v>
                </c:pt>
                <c:pt idx="3">
                  <c:v>12613636.363636361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64E-4B6D-84AF-1E4844DCF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3163552"/>
        <c:axId val="1135984320"/>
      </c:scatterChart>
      <c:valAx>
        <c:axId val="108316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35984320"/>
        <c:crosses val="autoZero"/>
        <c:crossBetween val="midCat"/>
      </c:valAx>
      <c:valAx>
        <c:axId val="113598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8316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8C41EAB-F0BE-4659-B3A1-116E141459E1}">
  <sheetPr/>
  <sheetViews>
    <sheetView zoomScale="142" workbookViewId="0" zoomToFit="1"/>
  </sheetViews>
  <pageMargins left="0.7" right="0.7" top="0.78740157499999996" bottom="0.78740157499999996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8053773-C758-4EA4-A6F8-9AA04ECEC9FB}">
  <sheetPr/>
  <sheetViews>
    <sheetView zoomScale="142" workbookViewId="0" zoomToFit="1"/>
  </sheetViews>
  <pageMargins left="0.7" right="0.7" top="0.78740157499999996" bottom="0.78740157499999996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0229" cy="5990018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ED7C72D7-ABC1-4E44-8F33-EF4AFAA2174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0229" cy="5990018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0350725-B4F2-4100-B892-2437CA60F29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4C927B-B3AF-481C-857A-898201A32087}" name="Tabelle1" displayName="Tabelle1" ref="A1:F21" totalsRowShown="0">
  <autoFilter ref="A1:F21" xr:uid="{FF6BEAA7-5940-46AB-A3CB-F368572F5FC7}"/>
  <sortState xmlns:xlrd2="http://schemas.microsoft.com/office/spreadsheetml/2017/richdata2" ref="A2:F21">
    <sortCondition ref="A1:A21"/>
  </sortState>
  <tableColumns count="6">
    <tableColumn id="1" xr3:uid="{CE91D317-A5E2-4A0B-8E2A-8938EAB5A481}" name="Spot"/>
    <tableColumn id="2" xr3:uid="{70B4DF98-9DF0-4FC5-91CA-8B4B9284CC73}" name="E_soll"/>
    <tableColumn id="3" xr3:uid="{664CE8FB-7CC3-41BE-8E53-3CCC7057EF9F}" name="A_Monitor" dataDxfId="15"/>
    <tableColumn id="4" xr3:uid="{86EA1087-BA60-48C7-BD80-4BCBE83FC271}" name="E_Mess"/>
    <tableColumn id="5" xr3:uid="{07B1D830-407B-4076-A9DB-D9845863EA0B}" name="Faktor" dataDxfId="14">
      <calculatedColumnFormula>Tabelle1[[#This Row],[E_Mess]]/Tabelle1[[#This Row],[A_Monitor]]</calculatedColumnFormula>
    </tableColumn>
    <tableColumn id="6" xr3:uid="{04734A43-203C-4891-84FD-3B432D4339E0}" name="Verhältnis" dataDxfId="13">
      <calculatedColumnFormula>Tabelle1[[#This Row],[E_Mess]]/Tabelle1[[#This Row],[E_soll]]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EB9F03-ED5D-43CF-A250-2BA704017AF4}" name="Tabelle2" displayName="Tabelle2" ref="A1:F5" totalsRowShown="0">
  <autoFilter ref="A1:F5" xr:uid="{7AABCF45-575B-43DC-93F1-BFBAA4EF096E}"/>
  <tableColumns count="6">
    <tableColumn id="1" xr3:uid="{A480BC79-3034-4A0C-BA45-BB2915CE3FD0}" name="E_soll"/>
    <tableColumn id="2" xr3:uid="{91A9AA42-FA77-4843-8C7A-4DF244A82A9F}" name="Spot1" dataDxfId="12">
      <calculatedColumnFormula>Tabelle1[[#This Row],[Verhältnis]]</calculatedColumnFormula>
    </tableColumn>
    <tableColumn id="3" xr3:uid="{647F10A4-67EC-4255-96C8-B78EBB03032B}" name="Spot2" dataDxfId="11">
      <calculatedColumnFormula>Tabelle1!F6</calculatedColumnFormula>
    </tableColumn>
    <tableColumn id="4" xr3:uid="{1982D162-1561-4208-8731-8412E5875C4C}" name="Spot3" dataDxfId="10">
      <calculatedColumnFormula>Tabelle1!F10</calculatedColumnFormula>
    </tableColumn>
    <tableColumn id="5" xr3:uid="{86980F4C-896A-444F-9EC1-C5D35C6DAF15}" name="Spot4" dataDxfId="9">
      <calculatedColumnFormula>Tabelle1!F14</calculatedColumnFormula>
    </tableColumn>
    <tableColumn id="6" xr3:uid="{28D58D3A-ABE0-4313-800A-6FCA58BCC425}" name="Spot5" dataDxfId="8">
      <calculatedColumnFormula>Tabelle1!F18</calculatedColumnFormula>
    </tableColumn>
  </tableColumns>
  <tableStyleInfo name="TableStyleLight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D2B8E4-8877-4885-B02E-3105F1635F79}" name="Tabelle3" displayName="Tabelle3" ref="A8:F12" totalsRowShown="0">
  <autoFilter ref="A8:F12" xr:uid="{9DAF4B73-AD35-42AD-82BF-16FFFDFE1FB4}"/>
  <tableColumns count="6">
    <tableColumn id="1" xr3:uid="{BE68D2DF-D45E-45C2-B44C-78938CE226EB}" name="E_soll"/>
    <tableColumn id="2" xr3:uid="{26AE1C40-4B3B-4327-BCEB-4348F2F9D85C}" name="Faktor 1" dataDxfId="7">
      <calculatedColumnFormula>Tabelle1!E2</calculatedColumnFormula>
    </tableColumn>
    <tableColumn id="3" xr3:uid="{014B1719-C418-4C76-9DC7-B1595725CB39}" name="Faktor 2" dataDxfId="6">
      <calculatedColumnFormula>Tabelle1!E6</calculatedColumnFormula>
    </tableColumn>
    <tableColumn id="4" xr3:uid="{85B2697B-F39A-41B3-B84C-7A3072810995}" name="Faktor 3" dataDxfId="5">
      <calculatedColumnFormula>Tabelle1!E10</calculatedColumnFormula>
    </tableColumn>
    <tableColumn id="5" xr3:uid="{B9FD8C6F-A036-427E-ADC7-ADD6866AE2ED}" name="Faktor 4" dataDxfId="4">
      <calculatedColumnFormula>Tabelle1!E14</calculatedColumnFormula>
    </tableColumn>
    <tableColumn id="6" xr3:uid="{F33A7BFA-50A4-4664-8608-1069A7E7D710}" name="Faktor 5" dataDxfId="3">
      <calculatedColumnFormula>Tabelle1!E18</calculatedColumnFormula>
    </tableColumn>
  </tableColumns>
  <tableStyleInfo name="TableStyleLight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DC926F9-C1F8-430F-B86A-A779D69972E4}" name="Tabelle15" displayName="Tabelle15" ref="A1:F9" totalsRowShown="0">
  <autoFilter ref="A1:F9" xr:uid="{FF6BEAA7-5940-46AB-A3CB-F368572F5FC7}"/>
  <sortState xmlns:xlrd2="http://schemas.microsoft.com/office/spreadsheetml/2017/richdata2" ref="A2:F9">
    <sortCondition ref="A1:A9"/>
  </sortState>
  <tableColumns count="6">
    <tableColumn id="1" xr3:uid="{3C0CF9E0-6162-486B-B9B3-A301C64146BE}" name="Spot"/>
    <tableColumn id="2" xr3:uid="{13E9E767-5E06-4E71-AF73-32C115C79686}" name="E_ideal"/>
    <tableColumn id="3" xr3:uid="{2360E81E-745B-4AF1-ABA7-83BD6FEA5BCF}" name="A_Monitor" dataDxfId="2"/>
    <tableColumn id="4" xr3:uid="{486B1B0B-2D4D-4ED8-BC6E-35B1AAC7ADE0}" name="E_Measured"/>
    <tableColumn id="5" xr3:uid="{105A8339-9DC5-40C6-B656-4FB4F9127102}" name="Factor" dataDxfId="1">
      <calculatedColumnFormula>Tabelle15[[#This Row],[E_Measured]]/Tabelle15[[#This Row],[A_Monitor]]</calculatedColumnFormula>
    </tableColumn>
    <tableColumn id="6" xr3:uid="{130CC88C-8630-454C-80FB-C05AD99C988C}" name="Ratio" dataDxfId="0">
      <calculatedColumnFormula>Tabelle15[[#This Row],[E_Measured]]/Tabelle15[[#This Row],[E_ideal]]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73062-6BB0-4099-AB05-02EAFE560979}">
  <dimension ref="A1:I24"/>
  <sheetViews>
    <sheetView workbookViewId="0">
      <selection activeCell="E2" sqref="E2"/>
    </sheetView>
  </sheetViews>
  <sheetFormatPr defaultColWidth="11.42578125" defaultRowHeight="15" x14ac:dyDescent="0.25"/>
  <cols>
    <col min="3" max="3" width="13.7109375" customWidth="1"/>
  </cols>
  <sheetData>
    <row r="1" spans="1:9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H1" t="s">
        <v>0</v>
      </c>
      <c r="I1" t="s">
        <v>16</v>
      </c>
    </row>
    <row r="2" spans="1:9" x14ac:dyDescent="0.25">
      <c r="A2">
        <v>1</v>
      </c>
      <c r="B2">
        <v>0.1</v>
      </c>
      <c r="C2" s="1">
        <v>3.6899999999999999E-9</v>
      </c>
      <c r="D2">
        <v>0.1</v>
      </c>
      <c r="E2" s="1">
        <f>Tabelle1[[#This Row],[E_Mess]]/Tabelle1[[#This Row],[A_Monitor]]</f>
        <v>27100271.002710029</v>
      </c>
      <c r="F2">
        <f>Tabelle1[[#This Row],[E_Mess]]/Tabelle1[[#This Row],[E_soll]]</f>
        <v>1</v>
      </c>
      <c r="H2">
        <v>1</v>
      </c>
      <c r="I2" s="1">
        <f xml:space="preserve"> SUM(E3:E5)/3</f>
        <v>24114864.582827538</v>
      </c>
    </row>
    <row r="3" spans="1:9" x14ac:dyDescent="0.25">
      <c r="A3">
        <v>1</v>
      </c>
      <c r="B3">
        <v>1</v>
      </c>
      <c r="C3" s="1">
        <v>4.06E-8</v>
      </c>
      <c r="D3">
        <v>0.98</v>
      </c>
      <c r="E3" s="1">
        <f>Tabelle1[[#This Row],[E_Mess]]/Tabelle1[[#This Row],[A_Monitor]]</f>
        <v>24137931.034482758</v>
      </c>
      <c r="F3">
        <f>Tabelle1[[#This Row],[E_Mess]]/Tabelle1[[#This Row],[E_soll]]</f>
        <v>0.98</v>
      </c>
      <c r="H3">
        <v>2</v>
      </c>
      <c r="I3" s="1">
        <f xml:space="preserve"> SUM(E7:E9)/3</f>
        <v>24115658.065155674</v>
      </c>
    </row>
    <row r="4" spans="1:9" x14ac:dyDescent="0.25">
      <c r="A4">
        <v>1</v>
      </c>
      <c r="B4">
        <v>10</v>
      </c>
      <c r="C4" s="1">
        <v>4.1199999999999998E-7</v>
      </c>
      <c r="D4">
        <v>9.9700000000000006</v>
      </c>
      <c r="E4" s="1">
        <f>Tabelle1[[#This Row],[E_Mess]]/Tabelle1[[#This Row],[A_Monitor]]</f>
        <v>24199029.126213595</v>
      </c>
      <c r="F4">
        <f>Tabelle1[[#This Row],[E_Mess]]/Tabelle1[[#This Row],[E_soll]]</f>
        <v>0.99700000000000011</v>
      </c>
      <c r="H4">
        <v>3</v>
      </c>
      <c r="I4" s="1">
        <f xml:space="preserve"> SUM(E11:E13)/3</f>
        <v>36320835.922227107</v>
      </c>
    </row>
    <row r="5" spans="1:9" x14ac:dyDescent="0.25">
      <c r="A5">
        <v>1</v>
      </c>
      <c r="B5">
        <v>31.6</v>
      </c>
      <c r="C5" s="1">
        <v>1.31E-6</v>
      </c>
      <c r="D5">
        <v>31.45</v>
      </c>
      <c r="E5" s="1">
        <f>Tabelle1[[#This Row],[E_Mess]]/Tabelle1[[#This Row],[A_Monitor]]</f>
        <v>24007633.587786261</v>
      </c>
      <c r="F5">
        <f>Tabelle1[[#This Row],[E_Mess]]/Tabelle1[[#This Row],[E_soll]]</f>
        <v>0.995253164556962</v>
      </c>
      <c r="H5">
        <v>4</v>
      </c>
      <c r="I5" s="1">
        <f xml:space="preserve"> SUM(E15:E17)/3</f>
        <v>26994122.116314411</v>
      </c>
    </row>
    <row r="6" spans="1:9" x14ac:dyDescent="0.25">
      <c r="A6">
        <v>2</v>
      </c>
      <c r="B6">
        <v>0.1</v>
      </c>
      <c r="C6" s="1">
        <v>3.6399999999999998E-9</v>
      </c>
      <c r="D6">
        <v>0.1</v>
      </c>
      <c r="E6" s="1">
        <f>Tabelle1[[#This Row],[E_Mess]]/Tabelle1[[#This Row],[A_Monitor]]</f>
        <v>27472527.472527474</v>
      </c>
      <c r="F6">
        <f>Tabelle1[[#This Row],[E_Mess]]/Tabelle1[[#This Row],[E_soll]]</f>
        <v>1</v>
      </c>
      <c r="H6">
        <v>5</v>
      </c>
      <c r="I6" s="1">
        <f xml:space="preserve"> SUM(E19:E21)/3</f>
        <v>12624415.616646893</v>
      </c>
    </row>
    <row r="7" spans="1:9" x14ac:dyDescent="0.25">
      <c r="A7">
        <v>2</v>
      </c>
      <c r="B7">
        <v>1</v>
      </c>
      <c r="C7" s="1">
        <v>4.2599999999999998E-8</v>
      </c>
      <c r="D7">
        <v>1.03</v>
      </c>
      <c r="E7" s="1">
        <f>Tabelle1[[#This Row],[E_Mess]]/Tabelle1[[#This Row],[A_Monitor]]</f>
        <v>24178403.755868547</v>
      </c>
      <c r="F7">
        <f>Tabelle1[[#This Row],[E_Mess]]/Tabelle1[[#This Row],[E_soll]]</f>
        <v>1.03</v>
      </c>
    </row>
    <row r="8" spans="1:9" x14ac:dyDescent="0.25">
      <c r="A8">
        <v>2</v>
      </c>
      <c r="B8">
        <v>10</v>
      </c>
      <c r="C8" s="1">
        <v>4.2800000000000002E-7</v>
      </c>
      <c r="D8">
        <v>10.36</v>
      </c>
      <c r="E8" s="1">
        <f>Tabelle1[[#This Row],[E_Mess]]/Tabelle1[[#This Row],[A_Monitor]]</f>
        <v>24205607.476635512</v>
      </c>
      <c r="F8">
        <f>Tabelle1[[#This Row],[E_Mess]]/Tabelle1[[#This Row],[E_soll]]</f>
        <v>1.036</v>
      </c>
    </row>
    <row r="9" spans="1:9" x14ac:dyDescent="0.25">
      <c r="A9">
        <v>2</v>
      </c>
      <c r="B9">
        <v>31.6</v>
      </c>
      <c r="C9" s="1">
        <v>1.35E-6</v>
      </c>
      <c r="D9">
        <v>32.35</v>
      </c>
      <c r="E9" s="1">
        <f>Tabelle1[[#This Row],[E_Mess]]/Tabelle1[[#This Row],[A_Monitor]]</f>
        <v>23962962.962962963</v>
      </c>
      <c r="F9">
        <f>Tabelle1[[#This Row],[E_Mess]]/Tabelle1[[#This Row],[E_soll]]</f>
        <v>1.0237341772151898</v>
      </c>
    </row>
    <row r="10" spans="1:9" x14ac:dyDescent="0.25">
      <c r="A10">
        <v>3</v>
      </c>
      <c r="B10">
        <v>0.1</v>
      </c>
      <c r="C10" s="1">
        <v>2.4199999999999999E-9</v>
      </c>
      <c r="D10">
        <v>0.1</v>
      </c>
      <c r="E10" s="1">
        <f>Tabelle1[[#This Row],[E_Mess]]/Tabelle1[[#This Row],[A_Monitor]]</f>
        <v>41322314.04958678</v>
      </c>
      <c r="F10">
        <f>Tabelle1[[#This Row],[E_Mess]]/Tabelle1[[#This Row],[E_soll]]</f>
        <v>1</v>
      </c>
    </row>
    <row r="11" spans="1:9" x14ac:dyDescent="0.25">
      <c r="A11">
        <v>3</v>
      </c>
      <c r="B11">
        <v>1</v>
      </c>
      <c r="C11" s="1">
        <v>2.7599999999999999E-8</v>
      </c>
      <c r="D11">
        <v>1.01</v>
      </c>
      <c r="E11" s="1">
        <f>Tabelle1[[#This Row],[E_Mess]]/Tabelle1[[#This Row],[A_Monitor]]</f>
        <v>36594202.898550726</v>
      </c>
      <c r="F11">
        <f>Tabelle1[[#This Row],[E_Mess]]/Tabelle1[[#This Row],[E_soll]]</f>
        <v>1.01</v>
      </c>
    </row>
    <row r="12" spans="1:9" x14ac:dyDescent="0.25">
      <c r="A12">
        <v>3</v>
      </c>
      <c r="B12">
        <v>10</v>
      </c>
      <c r="C12" s="1">
        <v>2.8500000000000002E-7</v>
      </c>
      <c r="D12">
        <v>10.37</v>
      </c>
      <c r="E12" s="1">
        <f>Tabelle1[[#This Row],[E_Mess]]/Tabelle1[[#This Row],[A_Monitor]]</f>
        <v>36385964.912280694</v>
      </c>
      <c r="F12">
        <f>Tabelle1[[#This Row],[E_Mess]]/Tabelle1[[#This Row],[E_soll]]</f>
        <v>1.0369999999999999</v>
      </c>
    </row>
    <row r="13" spans="1:9" x14ac:dyDescent="0.25">
      <c r="A13">
        <v>3</v>
      </c>
      <c r="B13">
        <v>31.6</v>
      </c>
      <c r="C13" s="1">
        <v>9.0599999999999999E-7</v>
      </c>
      <c r="D13">
        <v>32.6</v>
      </c>
      <c r="E13" s="1">
        <f>Tabelle1[[#This Row],[E_Mess]]/Tabelle1[[#This Row],[A_Monitor]]</f>
        <v>35982339.955849893</v>
      </c>
      <c r="F13">
        <f>Tabelle1[[#This Row],[E_Mess]]/Tabelle1[[#This Row],[E_soll]]</f>
        <v>1.0316455696202531</v>
      </c>
    </row>
    <row r="14" spans="1:9" x14ac:dyDescent="0.25">
      <c r="A14">
        <v>4</v>
      </c>
      <c r="B14">
        <v>0.1</v>
      </c>
      <c r="C14" s="1">
        <v>3.3099999999999999E-9</v>
      </c>
      <c r="D14">
        <v>0.1</v>
      </c>
      <c r="E14" s="1">
        <f>Tabelle1[[#This Row],[E_Mess]]/Tabelle1[[#This Row],[A_Monitor]]</f>
        <v>30211480.362537768</v>
      </c>
      <c r="F14">
        <f>Tabelle1[[#This Row],[E_Mess]]/Tabelle1[[#This Row],[E_soll]]</f>
        <v>1</v>
      </c>
    </row>
    <row r="15" spans="1:9" x14ac:dyDescent="0.25">
      <c r="A15">
        <v>4</v>
      </c>
      <c r="B15">
        <v>1</v>
      </c>
      <c r="C15" s="1">
        <v>3.8099999999999997E-8</v>
      </c>
      <c r="D15">
        <v>1.03</v>
      </c>
      <c r="E15" s="1">
        <f>Tabelle1[[#This Row],[E_Mess]]/Tabelle1[[#This Row],[A_Monitor]]</f>
        <v>27034120.734908137</v>
      </c>
      <c r="F15">
        <f>Tabelle1[[#This Row],[E_Mess]]/Tabelle1[[#This Row],[E_soll]]</f>
        <v>1.03</v>
      </c>
    </row>
    <row r="16" spans="1:9" x14ac:dyDescent="0.25">
      <c r="A16">
        <v>4</v>
      </c>
      <c r="B16">
        <v>10</v>
      </c>
      <c r="C16" s="1">
        <v>3.8000000000000001E-7</v>
      </c>
      <c r="D16">
        <v>10.31</v>
      </c>
      <c r="E16" s="1">
        <f>Tabelle1[[#This Row],[E_Mess]]/Tabelle1[[#This Row],[A_Monitor]]</f>
        <v>27131578.947368421</v>
      </c>
      <c r="F16">
        <f>Tabelle1[[#This Row],[E_Mess]]/Tabelle1[[#This Row],[E_soll]]</f>
        <v>1.0310000000000001</v>
      </c>
    </row>
    <row r="17" spans="1:6" x14ac:dyDescent="0.25">
      <c r="A17">
        <v>4</v>
      </c>
      <c r="B17">
        <v>31.6</v>
      </c>
      <c r="C17" s="1">
        <v>1.1999999999999999E-6</v>
      </c>
      <c r="D17">
        <v>32.18</v>
      </c>
      <c r="E17" s="1">
        <f>Tabelle1[[#This Row],[E_Mess]]/Tabelle1[[#This Row],[A_Monitor]]</f>
        <v>26816666.666666668</v>
      </c>
      <c r="F17">
        <f>Tabelle1[[#This Row],[E_Mess]]/Tabelle1[[#This Row],[E_soll]]</f>
        <v>1.0183544303797467</v>
      </c>
    </row>
    <row r="18" spans="1:6" x14ac:dyDescent="0.25">
      <c r="A18">
        <v>5</v>
      </c>
      <c r="B18">
        <v>0.1</v>
      </c>
      <c r="C18" s="1">
        <v>9.2199999999999992E-9</v>
      </c>
      <c r="D18">
        <v>0.13</v>
      </c>
      <c r="E18" s="1">
        <f>Tabelle1[[#This Row],[E_Mess]]/Tabelle1[[#This Row],[A_Monitor]]</f>
        <v>14099783.080260305</v>
      </c>
      <c r="F18">
        <f>Tabelle1[[#This Row],[E_Mess]]/Tabelle1[[#This Row],[E_soll]]</f>
        <v>1.3</v>
      </c>
    </row>
    <row r="19" spans="1:6" x14ac:dyDescent="0.25">
      <c r="A19">
        <v>5</v>
      </c>
      <c r="B19">
        <v>1</v>
      </c>
      <c r="C19" s="1">
        <v>7.5499999999999994E-8</v>
      </c>
      <c r="D19">
        <v>0.96</v>
      </c>
      <c r="E19" s="1">
        <f>Tabelle1[[#This Row],[E_Mess]]/Tabelle1[[#This Row],[A_Monitor]]</f>
        <v>12715231.78807947</v>
      </c>
      <c r="F19">
        <f>Tabelle1[[#This Row],[E_Mess]]/Tabelle1[[#This Row],[E_soll]]</f>
        <v>0.96</v>
      </c>
    </row>
    <row r="20" spans="1:6" x14ac:dyDescent="0.25">
      <c r="A20">
        <v>5</v>
      </c>
      <c r="B20">
        <v>10</v>
      </c>
      <c r="C20" s="1">
        <v>8.4499999999999996E-7</v>
      </c>
      <c r="D20">
        <v>10.6</v>
      </c>
      <c r="E20" s="1">
        <f>Tabelle1[[#This Row],[E_Mess]]/Tabelle1[[#This Row],[A_Monitor]]</f>
        <v>12544378.698224852</v>
      </c>
      <c r="F20">
        <f>Tabelle1[[#This Row],[E_Mess]]/Tabelle1[[#This Row],[E_soll]]</f>
        <v>1.06</v>
      </c>
    </row>
    <row r="21" spans="1:6" x14ac:dyDescent="0.25">
      <c r="A21">
        <v>5</v>
      </c>
      <c r="B21">
        <v>31.6</v>
      </c>
      <c r="C21" s="1">
        <v>2.6400000000000001E-6</v>
      </c>
      <c r="D21">
        <v>33.299999999999997</v>
      </c>
      <c r="E21" s="1">
        <f>Tabelle1[[#This Row],[E_Mess]]/Tabelle1[[#This Row],[A_Monitor]]</f>
        <v>12613636.363636361</v>
      </c>
      <c r="F21">
        <f>Tabelle1[[#This Row],[E_Mess]]/Tabelle1[[#This Row],[E_soll]]</f>
        <v>1.0537974683544302</v>
      </c>
    </row>
    <row r="23" spans="1:6" x14ac:dyDescent="0.25">
      <c r="A23" t="s">
        <v>17</v>
      </c>
    </row>
    <row r="24" spans="1:6" x14ac:dyDescent="0.25">
      <c r="A24" t="s">
        <v>18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D9505-7494-45E1-9DC8-B366D9CD13E5}">
  <dimension ref="A1:F12"/>
  <sheetViews>
    <sheetView workbookViewId="0"/>
  </sheetViews>
  <sheetFormatPr defaultColWidth="11.42578125" defaultRowHeight="15" x14ac:dyDescent="0.25"/>
  <cols>
    <col min="2" max="6" width="13.42578125" customWidth="1"/>
  </cols>
  <sheetData>
    <row r="1" spans="1:6" x14ac:dyDescent="0.25">
      <c r="A1" s="2" t="s">
        <v>1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25">
      <c r="A2" s="3">
        <v>0.1</v>
      </c>
      <c r="B2" s="3">
        <f>Tabelle1[[#This Row],[Verhältnis]]</f>
        <v>1</v>
      </c>
      <c r="C2" s="3">
        <f>Tabelle1!F6</f>
        <v>1</v>
      </c>
      <c r="D2" s="3">
        <f>Tabelle1!F10</f>
        <v>1</v>
      </c>
      <c r="E2" s="3">
        <f>Tabelle1!F14</f>
        <v>1</v>
      </c>
      <c r="F2" s="3">
        <f>Tabelle1!F18</f>
        <v>1.3</v>
      </c>
    </row>
    <row r="3" spans="1:6" x14ac:dyDescent="0.25">
      <c r="A3" s="4">
        <v>1</v>
      </c>
      <c r="B3" s="4">
        <f>Tabelle1[[#This Row],[Verhältnis]]</f>
        <v>0.98</v>
      </c>
      <c r="C3" s="4">
        <f>Tabelle1!F7</f>
        <v>1.03</v>
      </c>
      <c r="D3" s="4">
        <f>Tabelle1!F11</f>
        <v>1.01</v>
      </c>
      <c r="E3" s="4">
        <f>Tabelle1!F15</f>
        <v>1.03</v>
      </c>
      <c r="F3" s="4">
        <f>Tabelle1!F19</f>
        <v>0.96</v>
      </c>
    </row>
    <row r="4" spans="1:6" x14ac:dyDescent="0.25">
      <c r="A4" s="3">
        <v>10</v>
      </c>
      <c r="B4" s="3">
        <f>Tabelle1[[#This Row],[Verhältnis]]</f>
        <v>0.99700000000000011</v>
      </c>
      <c r="C4" s="3">
        <f>Tabelle1!F8</f>
        <v>1.036</v>
      </c>
      <c r="D4" s="3">
        <f>Tabelle1!F12</f>
        <v>1.0369999999999999</v>
      </c>
      <c r="E4" s="3">
        <f>Tabelle1!F16</f>
        <v>1.0310000000000001</v>
      </c>
      <c r="F4" s="3">
        <f>Tabelle1!F20</f>
        <v>1.06</v>
      </c>
    </row>
    <row r="5" spans="1:6" x14ac:dyDescent="0.25">
      <c r="A5" s="4">
        <v>31.6</v>
      </c>
      <c r="B5" s="4">
        <f>Tabelle1[[#This Row],[Verhältnis]]</f>
        <v>0.995253164556962</v>
      </c>
      <c r="C5" s="4">
        <f>Tabelle1!F9</f>
        <v>1.0237341772151898</v>
      </c>
      <c r="D5" s="4">
        <f>Tabelle1!F13</f>
        <v>1.0316455696202531</v>
      </c>
      <c r="E5" s="4">
        <f>Tabelle1!F17</f>
        <v>1.0183544303797467</v>
      </c>
      <c r="F5" s="5">
        <f>Tabelle1!F21</f>
        <v>1.0537974683544302</v>
      </c>
    </row>
    <row r="8" spans="1:6" x14ac:dyDescent="0.25">
      <c r="A8" t="s">
        <v>1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</row>
    <row r="9" spans="1:6" x14ac:dyDescent="0.25">
      <c r="A9" s="3">
        <v>0.1</v>
      </c>
      <c r="B9" s="1">
        <f>Tabelle1!E2</f>
        <v>27100271.002710029</v>
      </c>
      <c r="C9" s="1">
        <f>Tabelle1!E6</f>
        <v>27472527.472527474</v>
      </c>
      <c r="D9" s="1">
        <f>Tabelle1!E10</f>
        <v>41322314.04958678</v>
      </c>
      <c r="E9" s="1">
        <f>Tabelle1!E14</f>
        <v>30211480.362537768</v>
      </c>
      <c r="F9" s="1">
        <f>Tabelle1!E18</f>
        <v>14099783.080260305</v>
      </c>
    </row>
    <row r="10" spans="1:6" x14ac:dyDescent="0.25">
      <c r="A10" s="4">
        <v>1</v>
      </c>
      <c r="B10" s="1">
        <f>Tabelle1!E3</f>
        <v>24137931.034482758</v>
      </c>
      <c r="C10" s="1">
        <f>Tabelle1!E7</f>
        <v>24178403.755868547</v>
      </c>
      <c r="D10" s="1">
        <f>Tabelle1!E11</f>
        <v>36594202.898550726</v>
      </c>
      <c r="E10" s="1">
        <f>Tabelle1!E15</f>
        <v>27034120.734908137</v>
      </c>
      <c r="F10" s="1">
        <f>Tabelle1!E19</f>
        <v>12715231.78807947</v>
      </c>
    </row>
    <row r="11" spans="1:6" x14ac:dyDescent="0.25">
      <c r="A11" s="3">
        <v>10</v>
      </c>
      <c r="B11" s="1">
        <f>Tabelle1!E4</f>
        <v>24199029.126213595</v>
      </c>
      <c r="C11" s="1">
        <f>Tabelle1!E8</f>
        <v>24205607.476635512</v>
      </c>
      <c r="D11" s="1">
        <f>Tabelle1!E12</f>
        <v>36385964.912280694</v>
      </c>
      <c r="E11" s="1">
        <f>Tabelle1!E16</f>
        <v>27131578.947368421</v>
      </c>
      <c r="F11" s="1">
        <f>Tabelle1!E20</f>
        <v>12544378.698224852</v>
      </c>
    </row>
    <row r="12" spans="1:6" x14ac:dyDescent="0.25">
      <c r="A12" s="6">
        <v>31.6</v>
      </c>
      <c r="B12" s="1">
        <f>Tabelle1!E5</f>
        <v>24007633.587786261</v>
      </c>
      <c r="C12" s="1">
        <f>Tabelle1!E9</f>
        <v>23962962.962962963</v>
      </c>
      <c r="D12" s="1">
        <f>Tabelle1!E13</f>
        <v>35982339.955849893</v>
      </c>
      <c r="E12" s="1">
        <f>Tabelle1!E17</f>
        <v>26816666.666666668</v>
      </c>
      <c r="F12" s="1">
        <f>Tabelle1!E21</f>
        <v>12613636.363636361</v>
      </c>
    </row>
  </sheetData>
  <pageMargins left="0.7" right="0.7" top="0.78740157499999996" bottom="0.78740157499999996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88217-FE2E-45E2-B182-CE8B986A0E10}">
  <dimension ref="A1:L12"/>
  <sheetViews>
    <sheetView tabSelected="1" workbookViewId="0">
      <selection activeCell="N14" sqref="N14"/>
    </sheetView>
  </sheetViews>
  <sheetFormatPr defaultColWidth="11.42578125" defaultRowHeight="15" x14ac:dyDescent="0.25"/>
  <cols>
    <col min="3" max="3" width="13.7109375" customWidth="1"/>
    <col min="4" max="4" width="16.5703125" customWidth="1"/>
    <col min="5" max="5" width="13.85546875" customWidth="1"/>
    <col min="6" max="6" width="16.140625" customWidth="1"/>
    <col min="9" max="9" width="18.85546875" customWidth="1"/>
    <col min="11" max="11" width="21.42578125" customWidth="1"/>
    <col min="12" max="12" width="14.5703125" customWidth="1"/>
  </cols>
  <sheetData>
    <row r="1" spans="1:12" x14ac:dyDescent="0.25">
      <c r="A1" t="s">
        <v>0</v>
      </c>
      <c r="B1" t="s">
        <v>23</v>
      </c>
      <c r="C1" t="s">
        <v>3</v>
      </c>
      <c r="D1" t="s">
        <v>21</v>
      </c>
      <c r="E1" s="1" t="s">
        <v>24</v>
      </c>
      <c r="F1" t="s">
        <v>20</v>
      </c>
      <c r="H1" s="10" t="s">
        <v>22</v>
      </c>
      <c r="I1" s="10"/>
      <c r="K1" s="9" t="s">
        <v>26</v>
      </c>
      <c r="L1" s="9"/>
    </row>
    <row r="2" spans="1:12" x14ac:dyDescent="0.25">
      <c r="A2">
        <v>1</v>
      </c>
      <c r="B2">
        <v>0.1</v>
      </c>
      <c r="C2" s="1">
        <v>3.9330000000000004E-9</v>
      </c>
      <c r="D2">
        <v>0.1</v>
      </c>
      <c r="E2" s="1">
        <f>Tabelle15[[#This Row],[E_Measured]]/Tabelle15[[#This Row],[A_Monitor]]</f>
        <v>25425883.549453344</v>
      </c>
      <c r="F2">
        <f>Tabelle15[[#This Row],[E_Measured]]/Tabelle15[[#This Row],[E_ideal]]</f>
        <v>1</v>
      </c>
      <c r="H2" s="7" t="s">
        <v>25</v>
      </c>
      <c r="I2" s="1">
        <f xml:space="preserve"> SUM(E3:E5)/3</f>
        <v>24330240.409480657</v>
      </c>
      <c r="K2" s="7" t="s">
        <v>27</v>
      </c>
      <c r="L2">
        <v>170.2</v>
      </c>
    </row>
    <row r="3" spans="1:12" x14ac:dyDescent="0.25">
      <c r="A3">
        <v>1</v>
      </c>
      <c r="B3">
        <v>1</v>
      </c>
      <c r="C3" s="1">
        <v>4.1059999999999998E-8</v>
      </c>
      <c r="D3">
        <v>1</v>
      </c>
      <c r="E3" s="1">
        <f>Tabelle15[[#This Row],[E_Measured]]/Tabelle15[[#This Row],[A_Monitor]]</f>
        <v>24354603.019970775</v>
      </c>
      <c r="F3">
        <f>Tabelle15[[#This Row],[E_Measured]]/Tabelle15[[#This Row],[E_ideal]]</f>
        <v>1</v>
      </c>
      <c r="H3" s="7" t="s">
        <v>19</v>
      </c>
      <c r="I3" s="1">
        <f xml:space="preserve"> SUM(E7:E9)/3</f>
        <v>27537654.390823841</v>
      </c>
      <c r="K3" s="7" t="s">
        <v>19</v>
      </c>
      <c r="L3">
        <v>434</v>
      </c>
    </row>
    <row r="4" spans="1:12" x14ac:dyDescent="0.25">
      <c r="A4">
        <v>1</v>
      </c>
      <c r="B4">
        <v>10</v>
      </c>
      <c r="C4" s="1">
        <v>4.1189999999999998E-7</v>
      </c>
      <c r="D4">
        <v>10.01</v>
      </c>
      <c r="E4" s="1">
        <f>Tabelle15[[#This Row],[E_Measured]]/Tabelle15[[#This Row],[A_Monitor]]</f>
        <v>24302015.052197136</v>
      </c>
      <c r="F4">
        <f>Tabelle15[[#This Row],[E_Measured]]/Tabelle15[[#This Row],[E_ideal]]</f>
        <v>1.0009999999999999</v>
      </c>
      <c r="I4" s="1"/>
    </row>
    <row r="5" spans="1:12" x14ac:dyDescent="0.25">
      <c r="A5">
        <v>1</v>
      </c>
      <c r="B5">
        <v>31.6</v>
      </c>
      <c r="C5" s="1">
        <v>1.299E-6</v>
      </c>
      <c r="D5">
        <v>31.61</v>
      </c>
      <c r="E5" s="1">
        <f>Tabelle15[[#This Row],[E_Measured]]/Tabelle15[[#This Row],[A_Monitor]]</f>
        <v>24334103.156274058</v>
      </c>
      <c r="F5">
        <f>Tabelle15[[#This Row],[E_Measured]]/Tabelle15[[#This Row],[E_ideal]]</f>
        <v>1.0003164556962025</v>
      </c>
      <c r="I5" s="1"/>
    </row>
    <row r="6" spans="1:12" x14ac:dyDescent="0.25">
      <c r="A6" s="8" t="s">
        <v>19</v>
      </c>
      <c r="B6">
        <v>0.1</v>
      </c>
      <c r="C6" s="1">
        <v>3.476E-9</v>
      </c>
      <c r="D6">
        <v>0.1</v>
      </c>
      <c r="E6" s="1">
        <f>Tabelle15[[#This Row],[E_Measured]]/Tabelle15[[#This Row],[A_Monitor]]</f>
        <v>28768699.654775605</v>
      </c>
      <c r="F6">
        <f>Tabelle15[[#This Row],[E_Measured]]/Tabelle15[[#This Row],[E_ideal]]</f>
        <v>1</v>
      </c>
      <c r="I6" s="1"/>
    </row>
    <row r="7" spans="1:12" x14ac:dyDescent="0.25">
      <c r="A7" s="8" t="s">
        <v>19</v>
      </c>
      <c r="B7">
        <v>1</v>
      </c>
      <c r="C7" s="1">
        <v>3.6160000000000001E-8</v>
      </c>
      <c r="D7">
        <v>1</v>
      </c>
      <c r="E7" s="1">
        <f>Tabelle15[[#This Row],[E_Measured]]/Tabelle15[[#This Row],[A_Monitor]]</f>
        <v>27654867.256637167</v>
      </c>
      <c r="F7">
        <f>Tabelle15[[#This Row],[E_Measured]]/Tabelle15[[#This Row],[E_ideal]]</f>
        <v>1</v>
      </c>
    </row>
    <row r="8" spans="1:12" x14ac:dyDescent="0.25">
      <c r="A8" s="8" t="s">
        <v>19</v>
      </c>
      <c r="B8">
        <v>10</v>
      </c>
      <c r="C8" s="1">
        <v>3.6469999999999998E-7</v>
      </c>
      <c r="D8">
        <v>10.01</v>
      </c>
      <c r="E8" s="1">
        <f>Tabelle15[[#This Row],[E_Measured]]/Tabelle15[[#This Row],[A_Monitor]]</f>
        <v>27447216.890595011</v>
      </c>
      <c r="F8">
        <f>Tabelle15[[#This Row],[E_Measured]]/Tabelle15[[#This Row],[E_ideal]]</f>
        <v>1.0009999999999999</v>
      </c>
    </row>
    <row r="9" spans="1:12" x14ac:dyDescent="0.25">
      <c r="A9" s="8" t="s">
        <v>19</v>
      </c>
      <c r="B9">
        <v>31.6</v>
      </c>
      <c r="C9" s="1">
        <v>1.1489999999999999E-6</v>
      </c>
      <c r="D9">
        <v>31.61</v>
      </c>
      <c r="E9" s="1">
        <f>Tabelle15[[#This Row],[E_Measured]]/Tabelle15[[#This Row],[A_Monitor]]</f>
        <v>27510879.025239341</v>
      </c>
      <c r="F9">
        <f>Tabelle15[[#This Row],[E_Measured]]/Tabelle15[[#This Row],[E_ideal]]</f>
        <v>1.0003164556962025</v>
      </c>
    </row>
    <row r="11" spans="1:12" x14ac:dyDescent="0.25">
      <c r="A11" t="s">
        <v>17</v>
      </c>
    </row>
    <row r="12" spans="1:12" x14ac:dyDescent="0.25">
      <c r="A12" t="s">
        <v>18</v>
      </c>
    </row>
  </sheetData>
  <mergeCells count="2">
    <mergeCell ref="K1:L1"/>
    <mergeCell ref="H1:I1"/>
  </mergeCells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</vt:vector>
  </HeadingPairs>
  <TitlesOfParts>
    <vt:vector size="5" baseType="lpstr">
      <vt:lpstr>Tabelle1</vt:lpstr>
      <vt:lpstr>Tabelle2</vt:lpstr>
      <vt:lpstr>Berk</vt:lpstr>
      <vt:lpstr>Verhältnis</vt:lpstr>
      <vt:lpstr>Faktoren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Hoss</dc:creator>
  <cp:lastModifiedBy>Admin</cp:lastModifiedBy>
  <dcterms:created xsi:type="dcterms:W3CDTF">2025-04-15T10:32:32Z</dcterms:created>
  <dcterms:modified xsi:type="dcterms:W3CDTF">2026-06-16T20:02:09Z</dcterms:modified>
</cp:coreProperties>
</file>